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費用実績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マーケティング担当</author>
  </authors>
  <commentList>
    <comment ref="B3" authorId="0">
      <text>
        <r>
          <rPr>
            <sz val="10"/>
            <rFont val="Noto Sans CJK SC"/>
            <family val="2"/>
          </rPr>
          <t xml:space="preserve">開催後、実際にかかった費用をまとめたもの。予算表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予算表</t>
        </r>
        <r>
          <rPr>
            <sz val="10"/>
            <rFont val="Arial"/>
            <family val="2"/>
          </rPr>
          <t xml:space="preserve">_</t>
        </r>
        <r>
          <rPr>
            <sz val="10"/>
            <rFont val="Noto Sans CJK SC"/>
            <family val="2"/>
          </rPr>
          <t xml:space="preserve">使いこなし倶楽部</t>
        </r>
        <r>
          <rPr>
            <sz val="10"/>
            <rFont val="Arial"/>
            <family val="2"/>
          </rPr>
          <t xml:space="preserve">Vol3.xlsx)</t>
        </r>
        <r>
          <rPr>
            <sz val="10"/>
            <rFont val="Noto Sans CJK SC"/>
            <family val="2"/>
          </rPr>
          <t xml:space="preserve">と項目名は揃えてある</t>
        </r>
      </text>
    </comment>
  </commentList>
</comments>
</file>

<file path=xl/sharedStrings.xml><?xml version="1.0" encoding="utf-8"?>
<sst xmlns="http://schemas.openxmlformats.org/spreadsheetml/2006/main" count="43" uniqueCount="41">
  <si>
    <r>
      <rPr>
        <b val="true"/>
        <sz val="14"/>
        <rFont val="Noto Sans CJK SC"/>
        <family val="2"/>
      </rPr>
      <t xml:space="preserve">使いこなし倶楽部 </t>
    </r>
    <r>
      <rPr>
        <b val="true"/>
        <sz val="14"/>
        <rFont val="Arial"/>
        <family val="0"/>
        <charset val="1"/>
      </rPr>
      <t xml:space="preserve">Vol.3</t>
    </r>
    <r>
      <rPr>
        <b val="true"/>
        <sz val="14"/>
        <rFont val="Noto Sans CJK SC"/>
        <family val="2"/>
      </rPr>
      <t xml:space="preserve">　費用実績まとめ</t>
    </r>
  </si>
  <si>
    <r>
      <rPr>
        <i val="true"/>
        <sz val="9"/>
        <color rgb="FF666666"/>
        <rFont val="Noto Sans CJK SC"/>
        <family val="2"/>
      </rPr>
      <t xml:space="preserve">作成</t>
    </r>
    <r>
      <rPr>
        <i val="true"/>
        <sz val="9"/>
        <color rgb="FF666666"/>
        <rFont val="Arial"/>
        <family val="0"/>
        <charset val="1"/>
      </rPr>
      <t xml:space="preserve">:</t>
    </r>
    <r>
      <rPr>
        <i val="true"/>
        <sz val="9"/>
        <color rgb="FF666666"/>
        <rFont val="Noto Sans CJK SC"/>
        <family val="2"/>
      </rPr>
      <t xml:space="preserve">マーケティング担当　</t>
    </r>
    <r>
      <rPr>
        <i val="true"/>
        <sz val="9"/>
        <color rgb="FF666666"/>
        <rFont val="Arial"/>
        <family val="0"/>
        <charset val="1"/>
      </rPr>
      <t xml:space="preserve">2026/3/9</t>
    </r>
    <r>
      <rPr>
        <i val="true"/>
        <sz val="9"/>
        <color rgb="FF666666"/>
        <rFont val="Noto Sans CJK SC"/>
        <family val="2"/>
      </rPr>
      <t xml:space="preserve">時点　※開催後の実績値、一部証憑まだ未提出あり</t>
    </r>
  </si>
  <si>
    <t xml:space="preserve">項目</t>
  </si>
  <si>
    <t xml:space="preserve">実績内容</t>
  </si>
  <si>
    <t xml:space="preserve">予算（税抜）</t>
  </si>
  <si>
    <t xml:space="preserve">実績（税抜）</t>
  </si>
  <si>
    <t xml:space="preserve">差異</t>
  </si>
  <si>
    <t xml:space="preserve">支払先・証憑</t>
  </si>
  <si>
    <t xml:space="preserve">備考</t>
  </si>
  <si>
    <t xml:space="preserve">会場費</t>
  </si>
  <si>
    <t xml:space="preserve">自社セミナールーム利用</t>
  </si>
  <si>
    <t xml:space="preserve">-</t>
  </si>
  <si>
    <t xml:space="preserve">予算通り</t>
  </si>
  <si>
    <r>
      <rPr>
        <sz val="10"/>
        <rFont val="Arial"/>
        <family val="0"/>
        <charset val="1"/>
      </rPr>
      <t xml:space="preserve">Zoom Webinar</t>
    </r>
    <r>
      <rPr>
        <sz val="10"/>
        <rFont val="Noto Sans CJK SC"/>
        <family val="2"/>
      </rPr>
      <t xml:space="preserve">配信</t>
    </r>
  </si>
  <si>
    <t xml:space="preserve">既存契約プランを按分利用</t>
  </si>
  <si>
    <t xml:space="preserve">社内按分（請求書なし）</t>
  </si>
  <si>
    <t xml:space="preserve">想定通り</t>
  </si>
  <si>
    <t xml:space="preserve">音響設備（マイク・スピーカー）</t>
  </si>
  <si>
    <r>
      <rPr>
        <sz val="10"/>
        <rFont val="Noto Sans CJK SC"/>
        <family val="2"/>
      </rPr>
      <t xml:space="preserve">開始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分で音声トラブル発生、急遽マイク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本を近隣のレンタル店で追加手配</t>
    </r>
  </si>
  <si>
    <t xml:space="preserve">サウンドレンタル○○（領収書・現金精算）</t>
  </si>
  <si>
    <t xml:space="preserve">予算ゼロ想定だったため全額が超過。当日メモ参照</t>
  </si>
  <si>
    <t xml:space="preserve">資料印刷</t>
  </si>
  <si>
    <r>
      <rPr>
        <sz val="10"/>
        <rFont val="Noto Sans CJK SC"/>
        <family val="2"/>
      </rPr>
      <t xml:space="preserve">当初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部で発注、登録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</rPr>
      <t xml:space="preserve">名に対し不足したため当日近くのコンビニで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部を緊急増刷</t>
    </r>
  </si>
  <si>
    <t xml:space="preserve">印刷会社（請求書）＋コンビニ（レシート）</t>
  </si>
  <si>
    <t xml:space="preserve">次回は登録数確定後に発注部数を決める</t>
  </si>
  <si>
    <t xml:space="preserve">軽食・ドリンク（会場参加者向け）</t>
  </si>
  <si>
    <r>
      <rPr>
        <sz val="10"/>
        <rFont val="Noto Sans CJK SC"/>
        <family val="2"/>
      </rPr>
      <t xml:space="preserve">会場出席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名分（想定人数とほぼ一致）</t>
    </r>
  </si>
  <si>
    <t xml:space="preserve">ケータリング会社（請求書）</t>
  </si>
  <si>
    <t xml:space="preserve">想定人数どおりだったため予算内</t>
  </si>
  <si>
    <t xml:space="preserve">スタッフ交通費</t>
  </si>
  <si>
    <t xml:space="preserve">該当者なし</t>
  </si>
  <si>
    <t xml:space="preserve">予備費</t>
  </si>
  <si>
    <t xml:space="preserve">未使用（音響・印刷の超過分は各項目で個別精算）</t>
  </si>
  <si>
    <t xml:space="preserve">予備費からの充当はせず、それぞれ別費目として計上</t>
  </si>
  <si>
    <t xml:space="preserve">小計</t>
  </si>
  <si>
    <t xml:space="preserve">部長承認枠（バッファ込み）</t>
  </si>
  <si>
    <t xml:space="preserve">実績合計が承認枠をわずかに超過。金額としては小さいので経理には「誤差の範囲」として報告予定（要・田中部長への一言）</t>
  </si>
  <si>
    <t xml:space="preserve">未精算・確認中の項目</t>
  </si>
  <si>
    <r>
      <rPr>
        <i val="true"/>
        <sz val="9.5"/>
        <color rgb="FF666666"/>
        <rFont val="Noto Sans CJK SC"/>
        <family val="2"/>
      </rPr>
      <t xml:space="preserve">・音響レンタル代の領収書、経費精算システムにまだ未入力（担当</t>
    </r>
    <r>
      <rPr>
        <i val="true"/>
        <sz val="9.5"/>
        <color rgb="FF666666"/>
        <rFont val="Arial"/>
        <family val="0"/>
        <charset val="1"/>
      </rPr>
      <t xml:space="preserve">:</t>
    </r>
    <r>
      <rPr>
        <i val="true"/>
        <sz val="9.5"/>
        <color rgb="FF666666"/>
        <rFont val="Noto Sans CJK SC"/>
        <family val="2"/>
      </rPr>
      <t xml:space="preserve">鈴木、来週対応予定）</t>
    </r>
  </si>
  <si>
    <t xml:space="preserve">・コンビニ増刷分のレシート、財布に入れっぱなしだったのを発見。金額は上記に反映済みだが原本は要提出</t>
  </si>
  <si>
    <t xml:space="preserve">・ケータリング会社の請求書、実際の到着はまだ（金額は見積書ベースで計上、確定後に差し替え予定）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</si>
</sst>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+#,##0;\-#,##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i val="true"/>
      <sz val="9.5"/>
      <color rgb="FF666666"/>
      <name val="Noto Sans CJK SC"/>
      <family val="2"/>
    </font>
    <font>
      <i val="true"/>
      <sz val="9.5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FDE2E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2E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0</v>
      </c>
      <c r="D5" s="5" t="n">
        <v>0</v>
      </c>
      <c r="E5" s="6" t="n">
        <f aca="false">D5-C5</f>
        <v>0</v>
      </c>
      <c r="F5" s="7" t="s">
        <v>11</v>
      </c>
      <c r="G5" s="4" t="s">
        <v>12</v>
      </c>
    </row>
    <row r="6" customFormat="false" ht="15" hidden="false" customHeight="false" outlineLevel="0" collapsed="false">
      <c r="A6" s="7" t="s">
        <v>13</v>
      </c>
      <c r="B6" s="4" t="s">
        <v>14</v>
      </c>
      <c r="C6" s="5" t="n">
        <v>15000</v>
      </c>
      <c r="D6" s="5" t="n">
        <v>15000</v>
      </c>
      <c r="E6" s="6" t="n">
        <f aca="false">D6-C6</f>
        <v>0</v>
      </c>
      <c r="F6" s="4" t="s">
        <v>15</v>
      </c>
      <c r="G6" s="4" t="s">
        <v>16</v>
      </c>
    </row>
    <row r="7" customFormat="false" ht="29.85" hidden="false" customHeight="false" outlineLevel="0" collapsed="false">
      <c r="A7" s="8" t="s">
        <v>17</v>
      </c>
      <c r="B7" s="8" t="s">
        <v>18</v>
      </c>
      <c r="C7" s="9" t="n">
        <v>0</v>
      </c>
      <c r="D7" s="9" t="n">
        <v>18500</v>
      </c>
      <c r="E7" s="10" t="n">
        <f aca="false">D7-C7</f>
        <v>18500</v>
      </c>
      <c r="F7" s="8" t="s">
        <v>19</v>
      </c>
      <c r="G7" s="8" t="s">
        <v>20</v>
      </c>
    </row>
    <row r="8" customFormat="false" ht="29.85" hidden="false" customHeight="false" outlineLevel="0" collapsed="false">
      <c r="A8" s="8" t="s">
        <v>21</v>
      </c>
      <c r="B8" s="8" t="s">
        <v>22</v>
      </c>
      <c r="C8" s="9" t="n">
        <v>12000</v>
      </c>
      <c r="D8" s="9" t="n">
        <v>15600</v>
      </c>
      <c r="E8" s="10" t="n">
        <f aca="false">D8-C8</f>
        <v>3600</v>
      </c>
      <c r="F8" s="8" t="s">
        <v>23</v>
      </c>
      <c r="G8" s="8" t="s">
        <v>24</v>
      </c>
    </row>
    <row r="9" customFormat="false" ht="29.85" hidden="false" customHeight="false" outlineLevel="0" collapsed="false">
      <c r="A9" s="4" t="s">
        <v>25</v>
      </c>
      <c r="B9" s="4" t="s">
        <v>26</v>
      </c>
      <c r="C9" s="5" t="n">
        <v>35000</v>
      </c>
      <c r="D9" s="5" t="n">
        <v>31000</v>
      </c>
      <c r="E9" s="6" t="n">
        <f aca="false">D9-C9</f>
        <v>-4000</v>
      </c>
      <c r="F9" s="4" t="s">
        <v>27</v>
      </c>
      <c r="G9" s="4" t="s">
        <v>28</v>
      </c>
    </row>
    <row r="10" customFormat="false" ht="15" hidden="false" customHeight="false" outlineLevel="0" collapsed="false">
      <c r="A10" s="4" t="s">
        <v>29</v>
      </c>
      <c r="B10" s="4" t="s">
        <v>30</v>
      </c>
      <c r="C10" s="5" t="n">
        <v>0</v>
      </c>
      <c r="D10" s="5" t="n">
        <v>0</v>
      </c>
      <c r="E10" s="6" t="n">
        <f aca="false">D10-C10</f>
        <v>0</v>
      </c>
      <c r="F10" s="7" t="s">
        <v>11</v>
      </c>
      <c r="G10" s="4"/>
    </row>
    <row r="11" customFormat="false" ht="29.85" hidden="false" customHeight="false" outlineLevel="0" collapsed="false">
      <c r="A11" s="4" t="s">
        <v>31</v>
      </c>
      <c r="B11" s="4" t="s">
        <v>32</v>
      </c>
      <c r="C11" s="5" t="n">
        <v>10000</v>
      </c>
      <c r="D11" s="5" t="n">
        <v>0</v>
      </c>
      <c r="E11" s="6" t="n">
        <f aca="false">D11-C11</f>
        <v>-10000</v>
      </c>
      <c r="F11" s="7" t="s">
        <v>11</v>
      </c>
      <c r="G11" s="4" t="s">
        <v>33</v>
      </c>
    </row>
    <row r="13" customFormat="false" ht="15" hidden="false" customHeight="false" outlineLevel="0" collapsed="false">
      <c r="A13" s="11" t="s">
        <v>34</v>
      </c>
      <c r="C13" s="12" t="n">
        <f aca="false">SUM(C5:C11)</f>
        <v>72000</v>
      </c>
      <c r="D13" s="12" t="n">
        <f aca="false">SUM(D5:D11)</f>
        <v>80100</v>
      </c>
      <c r="E13" s="13" t="n">
        <f aca="false">D13-C13</f>
        <v>8100</v>
      </c>
    </row>
    <row r="14" customFormat="false" ht="15" hidden="false" customHeight="false" outlineLevel="0" collapsed="false">
      <c r="A14" s="14" t="s">
        <v>35</v>
      </c>
      <c r="C14" s="15" t="n">
        <v>80000</v>
      </c>
      <c r="D14" s="15"/>
      <c r="E14" s="16" t="n">
        <f aca="false">D13-C14</f>
        <v>100</v>
      </c>
      <c r="G14" s="14" t="s">
        <v>36</v>
      </c>
    </row>
    <row r="16" customFormat="false" ht="15" hidden="false" customHeight="false" outlineLevel="0" collapsed="false">
      <c r="A16" s="11" t="s">
        <v>37</v>
      </c>
    </row>
    <row r="17" customFormat="false" ht="15" hidden="false" customHeight="false" outlineLevel="0" collapsed="false">
      <c r="A17" s="17" t="s">
        <v>38</v>
      </c>
    </row>
    <row r="18" customFormat="false" ht="15" hidden="false" customHeight="false" outlineLevel="0" collapsed="false">
      <c r="A18" s="17" t="s">
        <v>39</v>
      </c>
    </row>
    <row r="19" customFormat="false" ht="15" hidden="false" customHeight="false" outlineLevel="0" collapsed="false">
      <c r="A19" s="1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2026-07-11T01:03:03Z</dcterms:created>
  <dc:creator>openpyxl</dc:creator>
  <dc:description/>
  <dc:language>en-US</dc:language>
  <cp:lastModifiedBy/>
  <dcterms:modified xsi:type="dcterms:W3CDTF">2026-07-11T01:03:03Z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